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Documents\python\projeto planilha python\"/>
    </mc:Choice>
  </mc:AlternateContent>
  <xr:revisionPtr revIDLastSave="0" documentId="8_{E3C9F277-2030-4B3A-BA78-DA1C91AB9651}" xr6:coauthVersionLast="47" xr6:coauthVersionMax="47" xr10:uidLastSave="{00000000-0000-0000-0000-000000000000}"/>
  <bookViews>
    <workbookView xWindow="-108" yWindow="-108" windowWidth="23256" windowHeight="12456" xr2:uid="{10CAC7EA-2F93-4DFC-8D22-DD12260DF21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2" i="1" l="1"/>
  <c r="J22" i="1" s="1"/>
  <c r="H21" i="1"/>
  <c r="J21" i="1" s="1"/>
  <c r="J20" i="1"/>
  <c r="H20" i="1"/>
  <c r="H19" i="1"/>
  <c r="J19" i="1" s="1"/>
  <c r="H18" i="1"/>
  <c r="J18" i="1" s="1"/>
  <c r="H17" i="1"/>
  <c r="J17" i="1" s="1"/>
  <c r="J16" i="1"/>
  <c r="H16" i="1"/>
  <c r="H15" i="1"/>
  <c r="J15" i="1" s="1"/>
  <c r="H14" i="1"/>
  <c r="J14" i="1" s="1"/>
  <c r="H13" i="1"/>
  <c r="J13" i="1" s="1"/>
  <c r="J12" i="1"/>
  <c r="H12" i="1"/>
  <c r="H11" i="1"/>
  <c r="J11" i="1" s="1"/>
  <c r="H10" i="1"/>
  <c r="J10" i="1" s="1"/>
  <c r="H9" i="1"/>
  <c r="J9" i="1" s="1"/>
  <c r="J8" i="1"/>
  <c r="H8" i="1"/>
  <c r="H7" i="1"/>
  <c r="J7" i="1" s="1"/>
  <c r="H6" i="1"/>
  <c r="J6" i="1" s="1"/>
  <c r="H5" i="1"/>
  <c r="J5" i="1" s="1"/>
  <c r="J4" i="1"/>
  <c r="H4" i="1"/>
</calcChain>
</file>

<file path=xl/sharedStrings.xml><?xml version="1.0" encoding="utf-8"?>
<sst xmlns="http://schemas.openxmlformats.org/spreadsheetml/2006/main" count="66" uniqueCount="28">
  <si>
    <t>FINANCEIRO</t>
  </si>
  <si>
    <t>DATA</t>
  </si>
  <si>
    <t>CLIENTE</t>
  </si>
  <si>
    <t>CUSTO</t>
  </si>
  <si>
    <t>MÃO DE OBRA</t>
  </si>
  <si>
    <t>PRAZO</t>
  </si>
  <si>
    <t>SUBTOTAL</t>
  </si>
  <si>
    <t>FORMA DE PAGAMENTO</t>
  </si>
  <si>
    <t>TOTAL BRUTO</t>
  </si>
  <si>
    <t>João Cleber Rodrigues</t>
  </si>
  <si>
    <t xml:space="preserve">5 DIAS </t>
  </si>
  <si>
    <t>CREDITO</t>
  </si>
  <si>
    <t xml:space="preserve">6 DIAS </t>
  </si>
  <si>
    <t xml:space="preserve">7 DIAS </t>
  </si>
  <si>
    <t>DINHEIRO</t>
  </si>
  <si>
    <t xml:space="preserve">8 DIAS </t>
  </si>
  <si>
    <t xml:space="preserve">9 DIAS </t>
  </si>
  <si>
    <t xml:space="preserve">10 DIAS </t>
  </si>
  <si>
    <t xml:space="preserve">11 DIAS </t>
  </si>
  <si>
    <t>DEBITO</t>
  </si>
  <si>
    <t xml:space="preserve">12 DIAS </t>
  </si>
  <si>
    <t xml:space="preserve">13 DIAS </t>
  </si>
  <si>
    <t xml:space="preserve">14 DIAS </t>
  </si>
  <si>
    <t xml:space="preserve">15 DIAS </t>
  </si>
  <si>
    <t xml:space="preserve">16 DIAS </t>
  </si>
  <si>
    <t xml:space="preserve">17 DIAS </t>
  </si>
  <si>
    <t xml:space="preserve">18 DIAS </t>
  </si>
  <si>
    <t>Victor Eduardo dos Santos Alexandrini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</si>
</sst>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2F2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/>
    <xf numFmtId="164" fontId="3" fillId="3" borderId="4" xfId="1" applyNumberFormat="1" applyFont="1" applyFill="1" applyBorder="1"/>
    <xf numFmtId="44" fontId="0" fillId="4" borderId="4" xfId="1" applyFont="1" applyFill="1" applyBorder="1"/>
    <xf numFmtId="44" fontId="0" fillId="5" borderId="4" xfId="1" applyFont="1" applyFill="1" applyBorder="1"/>
    <xf numFmtId="44" fontId="3" fillId="6" borderId="4" xfId="1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9445-5756-4BFA-9FCE-A1C02280CE8C}">
  <dimension ref="C2:J22"/>
  <sheetViews>
    <sheetView tabSelected="1" workbookViewId="0">
      <selection activeCell="J22" sqref="C2:J22"/>
    </sheetView>
  </sheetViews>
  <sheetFormatPr defaultRowHeight="14.4" x14ac:dyDescent="0.3"/>
  <cols>
    <col min="3" max="3" width="13.6640625" customWidth="1"/>
    <col min="4" max="4" width="31.5546875" bestFit="1" customWidth="1"/>
    <col min="5" max="5" width="11.88671875" bestFit="1" customWidth="1"/>
    <col min="6" max="6" width="12.44140625" bestFit="1" customWidth="1"/>
    <col min="7" max="7" width="8.5546875" customWidth="1"/>
    <col min="8" max="8" width="11.88671875" bestFit="1" customWidth="1"/>
    <col min="9" max="9" width="20.77734375" bestFit="1" customWidth="1"/>
    <col min="10" max="10" width="12.109375" bestFit="1" customWidth="1"/>
  </cols>
  <sheetData>
    <row r="2" spans="3:10" x14ac:dyDescent="0.3">
      <c r="C2" s="1" t="s">
        <v>0</v>
      </c>
      <c r="D2" s="2"/>
      <c r="E2" s="2"/>
      <c r="F2" s="2"/>
      <c r="G2" s="2"/>
      <c r="H2" s="2"/>
      <c r="I2" s="2"/>
      <c r="J2" s="3"/>
    </row>
    <row r="3" spans="3:10" x14ac:dyDescent="0.3"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</row>
    <row r="4" spans="3:10" x14ac:dyDescent="0.3">
      <c r="C4" s="5">
        <v>45658</v>
      </c>
      <c r="D4" s="6" t="s">
        <v>9</v>
      </c>
      <c r="E4" s="7">
        <v>50</v>
      </c>
      <c r="F4" s="8">
        <v>700</v>
      </c>
      <c r="G4" s="6" t="s">
        <v>10</v>
      </c>
      <c r="H4" s="9">
        <f t="shared" ref="H4:H22" si="0">E4+F4</f>
        <v>750</v>
      </c>
      <c r="I4" s="6" t="s">
        <v>11</v>
      </c>
      <c r="J4" s="10">
        <f t="shared" ref="J4:J22" si="1">IF(I4="CREDITO", H4-(H4*$M$3), H4)</f>
        <v>750</v>
      </c>
    </row>
    <row r="5" spans="3:10" x14ac:dyDescent="0.3">
      <c r="C5" s="5">
        <v>45659</v>
      </c>
      <c r="D5" s="6" t="s">
        <v>9</v>
      </c>
      <c r="E5" s="7">
        <v>2.5</v>
      </c>
      <c r="F5" s="8">
        <v>555</v>
      </c>
      <c r="G5" s="6" t="s">
        <v>12</v>
      </c>
      <c r="H5" s="9">
        <f t="shared" si="0"/>
        <v>557.5</v>
      </c>
      <c r="I5" s="6" t="s">
        <v>11</v>
      </c>
      <c r="J5" s="10">
        <f t="shared" si="1"/>
        <v>557.5</v>
      </c>
    </row>
    <row r="6" spans="3:10" x14ac:dyDescent="0.3">
      <c r="C6" s="5">
        <v>45660</v>
      </c>
      <c r="D6" s="6" t="s">
        <v>9</v>
      </c>
      <c r="E6" s="7">
        <v>2.5</v>
      </c>
      <c r="F6" s="8">
        <v>555</v>
      </c>
      <c r="G6" s="6" t="s">
        <v>13</v>
      </c>
      <c r="H6" s="9">
        <f t="shared" si="0"/>
        <v>557.5</v>
      </c>
      <c r="I6" s="6" t="s">
        <v>14</v>
      </c>
      <c r="J6" s="10">
        <f t="shared" si="1"/>
        <v>557.5</v>
      </c>
    </row>
    <row r="7" spans="3:10" x14ac:dyDescent="0.3">
      <c r="C7" s="5">
        <v>45661</v>
      </c>
      <c r="D7" s="6" t="s">
        <v>9</v>
      </c>
      <c r="E7" s="7">
        <v>2.5</v>
      </c>
      <c r="F7" s="8">
        <v>555</v>
      </c>
      <c r="G7" s="6" t="s">
        <v>15</v>
      </c>
      <c r="H7" s="9">
        <f t="shared" si="0"/>
        <v>557.5</v>
      </c>
      <c r="I7" s="6" t="s">
        <v>11</v>
      </c>
      <c r="J7" s="10">
        <f t="shared" si="1"/>
        <v>557.5</v>
      </c>
    </row>
    <row r="8" spans="3:10" x14ac:dyDescent="0.3">
      <c r="C8" s="5">
        <v>45662</v>
      </c>
      <c r="D8" s="6" t="s">
        <v>9</v>
      </c>
      <c r="E8" s="7">
        <v>2.5</v>
      </c>
      <c r="F8" s="8">
        <v>555</v>
      </c>
      <c r="G8" s="6" t="s">
        <v>16</v>
      </c>
      <c r="H8" s="9">
        <f t="shared" si="0"/>
        <v>557.5</v>
      </c>
      <c r="I8" s="6" t="s">
        <v>14</v>
      </c>
      <c r="J8" s="10">
        <f t="shared" si="1"/>
        <v>557.5</v>
      </c>
    </row>
    <row r="9" spans="3:10" x14ac:dyDescent="0.3">
      <c r="C9" s="5">
        <v>45663</v>
      </c>
      <c r="D9" s="6" t="s">
        <v>9</v>
      </c>
      <c r="E9" s="7">
        <v>4</v>
      </c>
      <c r="F9" s="8">
        <v>555</v>
      </c>
      <c r="G9" s="6" t="s">
        <v>17</v>
      </c>
      <c r="H9" s="9">
        <f t="shared" si="0"/>
        <v>559</v>
      </c>
      <c r="I9" s="6" t="s">
        <v>11</v>
      </c>
      <c r="J9" s="10">
        <f t="shared" si="1"/>
        <v>559</v>
      </c>
    </row>
    <row r="10" spans="3:10" x14ac:dyDescent="0.3">
      <c r="C10" s="5">
        <v>45664</v>
      </c>
      <c r="D10" s="6" t="s">
        <v>9</v>
      </c>
      <c r="E10" s="7">
        <v>2.5</v>
      </c>
      <c r="F10" s="8">
        <v>555</v>
      </c>
      <c r="G10" s="6" t="s">
        <v>18</v>
      </c>
      <c r="H10" s="9">
        <f t="shared" si="0"/>
        <v>557.5</v>
      </c>
      <c r="I10" s="6" t="s">
        <v>19</v>
      </c>
      <c r="J10" s="10">
        <f t="shared" si="1"/>
        <v>557.5</v>
      </c>
    </row>
    <row r="11" spans="3:10" x14ac:dyDescent="0.3">
      <c r="C11" s="5">
        <v>45665</v>
      </c>
      <c r="D11" s="6" t="s">
        <v>9</v>
      </c>
      <c r="E11" s="7">
        <v>2.5</v>
      </c>
      <c r="F11" s="8">
        <v>555</v>
      </c>
      <c r="G11" s="6" t="s">
        <v>20</v>
      </c>
      <c r="H11" s="9">
        <f t="shared" si="0"/>
        <v>557.5</v>
      </c>
      <c r="I11" s="6" t="s">
        <v>11</v>
      </c>
      <c r="J11" s="10">
        <f t="shared" si="1"/>
        <v>557.5</v>
      </c>
    </row>
    <row r="12" spans="3:10" x14ac:dyDescent="0.3">
      <c r="C12" s="5">
        <v>45666</v>
      </c>
      <c r="D12" s="6" t="s">
        <v>9</v>
      </c>
      <c r="E12" s="7">
        <v>2.5</v>
      </c>
      <c r="F12" s="8">
        <v>555</v>
      </c>
      <c r="G12" s="6" t="s">
        <v>21</v>
      </c>
      <c r="H12" s="9">
        <f t="shared" si="0"/>
        <v>557.5</v>
      </c>
      <c r="I12" s="6" t="s">
        <v>19</v>
      </c>
      <c r="J12" s="10">
        <f t="shared" si="1"/>
        <v>557.5</v>
      </c>
    </row>
    <row r="13" spans="3:10" x14ac:dyDescent="0.3">
      <c r="C13" s="5">
        <v>45667</v>
      </c>
      <c r="D13" s="6" t="s">
        <v>9</v>
      </c>
      <c r="E13" s="7">
        <v>2.5</v>
      </c>
      <c r="F13" s="8">
        <v>555</v>
      </c>
      <c r="G13" s="6" t="s">
        <v>22</v>
      </c>
      <c r="H13" s="9">
        <f t="shared" si="0"/>
        <v>557.5</v>
      </c>
      <c r="I13" s="6" t="s">
        <v>11</v>
      </c>
      <c r="J13" s="10">
        <f t="shared" si="1"/>
        <v>557.5</v>
      </c>
    </row>
    <row r="14" spans="3:10" x14ac:dyDescent="0.3">
      <c r="C14" s="5">
        <v>45668</v>
      </c>
      <c r="D14" s="6" t="s">
        <v>9</v>
      </c>
      <c r="E14" s="7">
        <v>3.5</v>
      </c>
      <c r="F14" s="8">
        <v>555</v>
      </c>
      <c r="G14" s="6" t="s">
        <v>23</v>
      </c>
      <c r="H14" s="9">
        <f t="shared" si="0"/>
        <v>558.5</v>
      </c>
      <c r="I14" s="6" t="s">
        <v>11</v>
      </c>
      <c r="J14" s="10">
        <f t="shared" si="1"/>
        <v>558.5</v>
      </c>
    </row>
    <row r="15" spans="3:10" x14ac:dyDescent="0.3">
      <c r="C15" s="5">
        <v>45669</v>
      </c>
      <c r="D15" s="6" t="s">
        <v>9</v>
      </c>
      <c r="E15" s="7">
        <v>2.5</v>
      </c>
      <c r="F15" s="8">
        <v>555</v>
      </c>
      <c r="G15" s="6" t="s">
        <v>24</v>
      </c>
      <c r="H15" s="9">
        <f t="shared" si="0"/>
        <v>557.5</v>
      </c>
      <c r="I15" s="6" t="s">
        <v>11</v>
      </c>
      <c r="J15" s="10">
        <f t="shared" si="1"/>
        <v>557.5</v>
      </c>
    </row>
    <row r="16" spans="3:10" x14ac:dyDescent="0.3">
      <c r="C16" s="5">
        <v>45670</v>
      </c>
      <c r="D16" s="6" t="s">
        <v>9</v>
      </c>
      <c r="E16" s="7">
        <v>2.5</v>
      </c>
      <c r="F16" s="8">
        <v>555</v>
      </c>
      <c r="G16" s="6" t="s">
        <v>25</v>
      </c>
      <c r="H16" s="9">
        <f t="shared" si="0"/>
        <v>557.5</v>
      </c>
      <c r="I16" s="6" t="s">
        <v>11</v>
      </c>
      <c r="J16" s="10">
        <f t="shared" si="1"/>
        <v>557.5</v>
      </c>
    </row>
    <row r="17" spans="3:10" x14ac:dyDescent="0.3">
      <c r="C17" s="5">
        <v>45671</v>
      </c>
      <c r="D17" s="6" t="s">
        <v>9</v>
      </c>
      <c r="E17" s="7">
        <v>2.5</v>
      </c>
      <c r="F17" s="8">
        <v>555</v>
      </c>
      <c r="G17" s="6" t="s">
        <v>26</v>
      </c>
      <c r="H17" s="9">
        <f t="shared" si="0"/>
        <v>557.5</v>
      </c>
      <c r="I17" s="6" t="s">
        <v>11</v>
      </c>
      <c r="J17" s="10">
        <f t="shared" si="1"/>
        <v>557.5</v>
      </c>
    </row>
    <row r="18" spans="3:10" x14ac:dyDescent="0.3">
      <c r="C18" s="5">
        <v>45845</v>
      </c>
      <c r="D18" s="6" t="s">
        <v>27</v>
      </c>
      <c r="E18" s="7">
        <v>50</v>
      </c>
      <c r="F18" s="8">
        <v>7777</v>
      </c>
      <c r="G18" s="6" t="s">
        <v>13</v>
      </c>
      <c r="H18" s="9">
        <f t="shared" si="0"/>
        <v>7827</v>
      </c>
      <c r="I18" s="6" t="s">
        <v>11</v>
      </c>
      <c r="J18" s="10">
        <f t="shared" si="1"/>
        <v>7827</v>
      </c>
    </row>
    <row r="19" spans="3:10" x14ac:dyDescent="0.3">
      <c r="C19" s="5">
        <v>45882</v>
      </c>
      <c r="D19" s="6" t="s">
        <v>27</v>
      </c>
      <c r="E19" s="7">
        <v>50</v>
      </c>
      <c r="F19" s="8">
        <v>7777</v>
      </c>
      <c r="G19" s="6" t="s">
        <v>15</v>
      </c>
      <c r="H19" s="9">
        <f t="shared" si="0"/>
        <v>7827</v>
      </c>
      <c r="I19" s="6" t="s">
        <v>19</v>
      </c>
      <c r="J19" s="10">
        <f t="shared" si="1"/>
        <v>7827</v>
      </c>
    </row>
    <row r="20" spans="3:10" x14ac:dyDescent="0.3">
      <c r="C20" s="5">
        <v>45769</v>
      </c>
      <c r="D20" s="6" t="s">
        <v>27</v>
      </c>
      <c r="E20" s="7">
        <v>750</v>
      </c>
      <c r="F20" s="8">
        <v>7777</v>
      </c>
      <c r="G20" s="6" t="s">
        <v>16</v>
      </c>
      <c r="H20" s="9">
        <f t="shared" si="0"/>
        <v>8527</v>
      </c>
      <c r="I20" s="6" t="s">
        <v>14</v>
      </c>
      <c r="J20" s="10">
        <f t="shared" si="1"/>
        <v>8527</v>
      </c>
    </row>
    <row r="21" spans="3:10" x14ac:dyDescent="0.3">
      <c r="C21" s="5">
        <v>45802</v>
      </c>
      <c r="D21" s="6" t="s">
        <v>27</v>
      </c>
      <c r="E21" s="7">
        <v>999</v>
      </c>
      <c r="F21" s="8">
        <v>7777</v>
      </c>
      <c r="G21" s="6" t="s">
        <v>17</v>
      </c>
      <c r="H21" s="9">
        <f t="shared" si="0"/>
        <v>8776</v>
      </c>
      <c r="I21" s="6" t="s">
        <v>11</v>
      </c>
      <c r="J21" s="10">
        <f t="shared" si="1"/>
        <v>8776</v>
      </c>
    </row>
    <row r="22" spans="3:10" x14ac:dyDescent="0.3">
      <c r="C22" s="5">
        <v>45713</v>
      </c>
      <c r="D22" s="6" t="s">
        <v>27</v>
      </c>
      <c r="E22" s="7">
        <v>2222</v>
      </c>
      <c r="F22" s="8">
        <v>7777</v>
      </c>
      <c r="G22" s="6" t="s">
        <v>18</v>
      </c>
      <c r="H22" s="9">
        <f t="shared" si="0"/>
        <v>9999</v>
      </c>
      <c r="I22" s="6" t="s">
        <v>14</v>
      </c>
      <c r="J22" s="10">
        <f t="shared" si="1"/>
        <v>9999</v>
      </c>
    </row>
  </sheetData>
  <mergeCells count="1">
    <mergeCell ref="C2:J2"/>
  </mergeCells>
  <dataValidations count="1">
    <dataValidation type="list" allowBlank="1" showInputMessage="1" showErrorMessage="1" sqref="I4:I22" xr:uid="{3A8DA140-1B14-461B-811D-00817C56C3E2}">
      <formula1>"PIX,DEBITO,CREDITO,DINHEIRO"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EDUARDO DOS SANTOS ALEXANDRINI</dc:creator>
  <cp:lastModifiedBy>VICTOR EDUARDO DOS SANTOS ALEXANDRINI</cp:lastModifiedBy>
  <dcterms:created xsi:type="dcterms:W3CDTF">2026-10-16T18:01:35Z</dcterms:created>
  <dcterms:modified xsi:type="dcterms:W3CDTF">2026-10-16T18:04:37Z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2026-10-16T18:03:14Z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fe287f9b-8da5-42d4-ae90-ceccf770c07f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